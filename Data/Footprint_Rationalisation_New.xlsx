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agovor Modelling/"/>
    </mc:Choice>
  </mc:AlternateContent>
  <xr:revisionPtr revIDLastSave="2" documentId="11_C2333674C71B26094E66C7EDB53F25F37DBB66D4" xr6:coauthVersionLast="47" xr6:coauthVersionMax="47" xr10:uidLastSave="{BE6EEAC4-F2E4-4EC0-A2C1-3D11BC7C60CF}"/>
  <bookViews>
    <workbookView xWindow="-14760" yWindow="-16320" windowWidth="29040" windowHeight="15720" tabRatio="500" xr2:uid="{00000000-000D-0000-FFFF-FFFF00000000}"/>
  </bookViews>
  <sheets>
    <sheet name="Footprint rationalis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73" i="1" l="1"/>
  <c r="O73" i="1"/>
  <c r="N73" i="1"/>
  <c r="M73" i="1"/>
  <c r="L73" i="1"/>
  <c r="P68" i="1"/>
  <c r="O68" i="1"/>
  <c r="N68" i="1"/>
  <c r="M68" i="1"/>
  <c r="L68" i="1"/>
  <c r="E68" i="1"/>
  <c r="AA68" i="1" s="1"/>
  <c r="D68" i="1"/>
  <c r="Z68" i="1" s="1"/>
  <c r="C68" i="1"/>
  <c r="Y68" i="1" s="1"/>
  <c r="B68" i="1"/>
  <c r="X68" i="1" s="1"/>
  <c r="A68" i="1"/>
  <c r="W68" i="1" s="1"/>
  <c r="P67" i="1"/>
  <c r="O67" i="1"/>
  <c r="N67" i="1"/>
  <c r="M67" i="1"/>
  <c r="L67" i="1"/>
  <c r="E67" i="1"/>
  <c r="AA67" i="1" s="1"/>
  <c r="D67" i="1"/>
  <c r="Z67" i="1" s="1"/>
  <c r="C67" i="1"/>
  <c r="Y67" i="1" s="1"/>
  <c r="B67" i="1"/>
  <c r="X67" i="1" s="1"/>
  <c r="A67" i="1"/>
  <c r="W67" i="1" s="1"/>
  <c r="P65" i="1"/>
  <c r="O65" i="1"/>
  <c r="N65" i="1"/>
  <c r="M65" i="1"/>
  <c r="L65" i="1"/>
  <c r="E65" i="1"/>
  <c r="AA65" i="1" s="1"/>
  <c r="D65" i="1"/>
  <c r="Z65" i="1" s="1"/>
  <c r="C65" i="1"/>
  <c r="Y65" i="1" s="1"/>
  <c r="B65" i="1"/>
  <c r="X65" i="1" s="1"/>
  <c r="A65" i="1"/>
  <c r="W65" i="1" s="1"/>
  <c r="E62" i="1"/>
  <c r="AA62" i="1" s="1"/>
  <c r="D62" i="1"/>
  <c r="Z62" i="1" s="1"/>
  <c r="C62" i="1"/>
  <c r="Y62" i="1" s="1"/>
  <c r="B62" i="1"/>
  <c r="X62" i="1" s="1"/>
  <c r="A62" i="1"/>
  <c r="W62" i="1" s="1"/>
  <c r="P61" i="1"/>
  <c r="O61" i="1"/>
  <c r="N61" i="1"/>
  <c r="M61" i="1"/>
  <c r="L61" i="1"/>
  <c r="E61" i="1"/>
  <c r="AA61" i="1" s="1"/>
  <c r="D61" i="1"/>
  <c r="Z61" i="1" s="1"/>
  <c r="C61" i="1"/>
  <c r="Y61" i="1" s="1"/>
  <c r="B61" i="1"/>
  <c r="X61" i="1" s="1"/>
  <c r="A61" i="1"/>
  <c r="W61" i="1" s="1"/>
  <c r="P60" i="1"/>
  <c r="O60" i="1"/>
  <c r="N60" i="1"/>
  <c r="M60" i="1"/>
  <c r="L60" i="1"/>
  <c r="E60" i="1"/>
  <c r="AA60" i="1" s="1"/>
  <c r="D60" i="1"/>
  <c r="Z60" i="1" s="1"/>
  <c r="C60" i="1"/>
  <c r="Y60" i="1" s="1"/>
  <c r="B60" i="1"/>
  <c r="X60" i="1" s="1"/>
  <c r="A60" i="1"/>
  <c r="W60" i="1" s="1"/>
  <c r="P59" i="1"/>
  <c r="P56" i="1"/>
  <c r="O56" i="1"/>
  <c r="N56" i="1"/>
  <c r="M56" i="1"/>
  <c r="L56" i="1"/>
  <c r="E56" i="1"/>
  <c r="AA56" i="1" s="1"/>
  <c r="D56" i="1"/>
  <c r="Z56" i="1" s="1"/>
  <c r="C56" i="1"/>
  <c r="Y56" i="1" s="1"/>
  <c r="B56" i="1"/>
  <c r="X56" i="1" s="1"/>
  <c r="A56" i="1"/>
  <c r="W56" i="1" s="1"/>
  <c r="P55" i="1"/>
  <c r="O55" i="1"/>
  <c r="N55" i="1"/>
  <c r="M55" i="1"/>
  <c r="L55" i="1"/>
  <c r="E55" i="1"/>
  <c r="AA55" i="1" s="1"/>
  <c r="D55" i="1"/>
  <c r="Z55" i="1" s="1"/>
  <c r="C55" i="1"/>
  <c r="Y55" i="1" s="1"/>
  <c r="B55" i="1"/>
  <c r="X55" i="1" s="1"/>
  <c r="A55" i="1"/>
  <c r="W55" i="1" s="1"/>
  <c r="P49" i="1"/>
  <c r="O49" i="1"/>
  <c r="C47" i="1"/>
  <c r="M46" i="1"/>
  <c r="L46" i="1"/>
  <c r="E46" i="1"/>
  <c r="D46" i="1"/>
  <c r="C46" i="1"/>
  <c r="B46" i="1"/>
  <c r="A46" i="1"/>
  <c r="P42" i="1"/>
  <c r="O42" i="1"/>
  <c r="N42" i="1"/>
  <c r="M42" i="1"/>
  <c r="L42" i="1"/>
  <c r="E42" i="1"/>
  <c r="D42" i="1"/>
  <c r="C42" i="1"/>
  <c r="B42" i="1"/>
  <c r="A42" i="1"/>
  <c r="P41" i="1"/>
  <c r="O41" i="1"/>
  <c r="N41" i="1"/>
  <c r="M41" i="1"/>
  <c r="L41" i="1"/>
  <c r="E41" i="1"/>
  <c r="D41" i="1"/>
  <c r="C41" i="1"/>
  <c r="B41" i="1"/>
  <c r="A41" i="1"/>
  <c r="P40" i="1"/>
  <c r="O40" i="1"/>
  <c r="N40" i="1"/>
  <c r="M40" i="1"/>
  <c r="L40" i="1"/>
  <c r="E40" i="1"/>
  <c r="D40" i="1"/>
  <c r="C40" i="1"/>
  <c r="B40" i="1"/>
  <c r="A40" i="1"/>
  <c r="P39" i="1"/>
  <c r="O39" i="1"/>
  <c r="N39" i="1"/>
  <c r="N49" i="1" s="1"/>
  <c r="M39" i="1"/>
  <c r="M49" i="1" s="1"/>
  <c r="L39" i="1"/>
  <c r="L49" i="1" s="1"/>
  <c r="E39" i="1"/>
  <c r="E49" i="1" s="1"/>
  <c r="D39" i="1"/>
  <c r="D49" i="1" s="1"/>
  <c r="C39" i="1"/>
  <c r="C49" i="1" s="1"/>
  <c r="B39" i="1"/>
  <c r="B49" i="1" s="1"/>
  <c r="A39" i="1"/>
  <c r="A49" i="1" s="1"/>
  <c r="P38" i="1"/>
  <c r="P48" i="1" s="1"/>
  <c r="O38" i="1"/>
  <c r="O48" i="1" s="1"/>
  <c r="N38" i="1"/>
  <c r="N48" i="1" s="1"/>
  <c r="M38" i="1"/>
  <c r="M48" i="1" s="1"/>
  <c r="L38" i="1"/>
  <c r="L48" i="1" s="1"/>
  <c r="E38" i="1"/>
  <c r="E48" i="1" s="1"/>
  <c r="D38" i="1"/>
  <c r="D48" i="1" s="1"/>
  <c r="C38" i="1"/>
  <c r="C48" i="1" s="1"/>
  <c r="B38" i="1"/>
  <c r="B48" i="1" s="1"/>
  <c r="A38" i="1"/>
  <c r="A48" i="1" s="1"/>
  <c r="E37" i="1"/>
  <c r="D37" i="1"/>
  <c r="C37" i="1"/>
  <c r="B37" i="1"/>
  <c r="A37" i="1"/>
  <c r="E36" i="1"/>
  <c r="D36" i="1"/>
  <c r="C36" i="1"/>
  <c r="B36" i="1"/>
  <c r="A36" i="1"/>
  <c r="P35" i="1"/>
  <c r="O35" i="1"/>
  <c r="N35" i="1"/>
  <c r="M35" i="1"/>
  <c r="L35" i="1"/>
  <c r="E35" i="1"/>
  <c r="D35" i="1"/>
  <c r="C35" i="1"/>
  <c r="B35" i="1"/>
  <c r="A35" i="1"/>
  <c r="P34" i="1"/>
  <c r="P47" i="1" s="1"/>
  <c r="O34" i="1"/>
  <c r="O47" i="1" s="1"/>
  <c r="N34" i="1"/>
  <c r="N47" i="1" s="1"/>
  <c r="M34" i="1"/>
  <c r="M47" i="1" s="1"/>
  <c r="L34" i="1"/>
  <c r="L47" i="1" s="1"/>
  <c r="E34" i="1"/>
  <c r="E47" i="1" s="1"/>
  <c r="D34" i="1"/>
  <c r="D47" i="1" s="1"/>
  <c r="C34" i="1"/>
  <c r="B34" i="1"/>
  <c r="B47" i="1" s="1"/>
  <c r="A34" i="1"/>
  <c r="A47" i="1" s="1"/>
  <c r="P33" i="1"/>
  <c r="P46" i="1" s="1"/>
  <c r="O33" i="1"/>
  <c r="O46" i="1" s="1"/>
  <c r="N33" i="1"/>
  <c r="N46" i="1" s="1"/>
  <c r="M33" i="1"/>
  <c r="L33" i="1"/>
  <c r="E33" i="1"/>
  <c r="D33" i="1"/>
  <c r="C33" i="1"/>
  <c r="B33" i="1"/>
  <c r="A33" i="1"/>
  <c r="P32" i="1"/>
  <c r="O32" i="1"/>
  <c r="N32" i="1"/>
  <c r="M32" i="1"/>
  <c r="L32" i="1"/>
  <c r="E32" i="1"/>
  <c r="D32" i="1"/>
  <c r="C32" i="1"/>
  <c r="B32" i="1"/>
  <c r="A32" i="1"/>
  <c r="P31" i="1"/>
  <c r="O31" i="1"/>
  <c r="N31" i="1"/>
  <c r="M31" i="1"/>
  <c r="L31" i="1"/>
  <c r="E31" i="1"/>
  <c r="D31" i="1"/>
  <c r="C31" i="1"/>
  <c r="B31" i="1"/>
  <c r="A31" i="1"/>
  <c r="P30" i="1"/>
  <c r="O30" i="1"/>
  <c r="N30" i="1"/>
  <c r="M30" i="1"/>
  <c r="L30" i="1"/>
  <c r="E30" i="1"/>
  <c r="D30" i="1"/>
  <c r="C30" i="1"/>
  <c r="B30" i="1"/>
  <c r="A30" i="1"/>
  <c r="P29" i="1"/>
  <c r="O29" i="1"/>
  <c r="N29" i="1"/>
  <c r="M29" i="1"/>
  <c r="L29" i="1"/>
  <c r="E29" i="1"/>
  <c r="D29" i="1"/>
  <c r="C29" i="1"/>
  <c r="B29" i="1"/>
  <c r="A29" i="1"/>
  <c r="A20" i="1"/>
  <c r="M58" i="1" l="1"/>
  <c r="L58" i="1"/>
  <c r="E58" i="1"/>
  <c r="D58" i="1"/>
  <c r="C58" i="1"/>
  <c r="B58" i="1"/>
  <c r="A58" i="1"/>
  <c r="P57" i="1"/>
  <c r="O57" i="1"/>
  <c r="N57" i="1"/>
  <c r="M57" i="1"/>
  <c r="L57" i="1"/>
  <c r="E57" i="1"/>
  <c r="D57" i="1"/>
  <c r="C57" i="1"/>
  <c r="B57" i="1"/>
  <c r="A57" i="1"/>
  <c r="P66" i="1"/>
  <c r="P75" i="1" s="1"/>
  <c r="O66" i="1"/>
  <c r="O75" i="1" s="1"/>
  <c r="M66" i="1"/>
  <c r="M75" i="1" s="1"/>
  <c r="L66" i="1"/>
  <c r="L75" i="1" s="1"/>
  <c r="E66" i="1"/>
  <c r="D66" i="1"/>
  <c r="C66" i="1"/>
  <c r="B66" i="1"/>
  <c r="A66" i="1"/>
  <c r="P64" i="1"/>
  <c r="P74" i="1" s="1"/>
  <c r="O64" i="1"/>
  <c r="O74" i="1" s="1"/>
  <c r="N64" i="1"/>
  <c r="N74" i="1" s="1"/>
  <c r="M64" i="1"/>
  <c r="M74" i="1" s="1"/>
  <c r="L64" i="1"/>
  <c r="L74" i="1" s="1"/>
  <c r="E64" i="1"/>
  <c r="D64" i="1"/>
  <c r="C64" i="1"/>
  <c r="B64" i="1"/>
  <c r="A64" i="1"/>
  <c r="E63" i="1"/>
  <c r="D63" i="1"/>
  <c r="E59" i="1"/>
  <c r="AA59" i="1" s="1"/>
  <c r="C63" i="1"/>
  <c r="B63" i="1"/>
  <c r="A63" i="1"/>
  <c r="O59" i="1"/>
  <c r="N59" i="1"/>
  <c r="M59" i="1"/>
  <c r="L59" i="1"/>
  <c r="N66" i="1"/>
  <c r="N75" i="1" s="1"/>
  <c r="D59" i="1"/>
  <c r="Z59" i="1" s="1"/>
  <c r="C59" i="1"/>
  <c r="Y59" i="1" s="1"/>
  <c r="B59" i="1"/>
  <c r="X59" i="1" s="1"/>
  <c r="A59" i="1"/>
  <c r="W59" i="1" s="1"/>
  <c r="P58" i="1"/>
  <c r="O58" i="1"/>
  <c r="N58" i="1"/>
  <c r="AA57" i="1" l="1"/>
  <c r="AA72" i="1" s="1"/>
  <c r="E72" i="1"/>
  <c r="Z57" i="1"/>
  <c r="D72" i="1"/>
  <c r="Y57" i="1"/>
  <c r="Y72" i="1" s="1"/>
  <c r="C72" i="1"/>
  <c r="X57" i="1"/>
  <c r="B72" i="1"/>
  <c r="W57" i="1"/>
  <c r="A72" i="1"/>
  <c r="E75" i="1"/>
  <c r="AA66" i="1"/>
  <c r="AA75" i="1" s="1"/>
  <c r="Z66" i="1"/>
  <c r="Z75" i="1" s="1"/>
  <c r="D75" i="1"/>
  <c r="Y66" i="1"/>
  <c r="Y75" i="1" s="1"/>
  <c r="C75" i="1"/>
  <c r="X66" i="1"/>
  <c r="X75" i="1" s="1"/>
  <c r="B75" i="1"/>
  <c r="W66" i="1"/>
  <c r="W75" i="1" s="1"/>
  <c r="A75" i="1"/>
  <c r="AA64" i="1"/>
  <c r="AA74" i="1" s="1"/>
  <c r="E74" i="1"/>
  <c r="Z64" i="1"/>
  <c r="Z74" i="1" s="1"/>
  <c r="D74" i="1"/>
  <c r="Y64" i="1"/>
  <c r="Y74" i="1" s="1"/>
  <c r="C74" i="1"/>
  <c r="X64" i="1"/>
  <c r="X74" i="1" s="1"/>
  <c r="B74" i="1"/>
  <c r="W64" i="1"/>
  <c r="W74" i="1" s="1"/>
  <c r="A74" i="1"/>
  <c r="AA63" i="1"/>
  <c r="AA73" i="1" s="1"/>
  <c r="E73" i="1"/>
  <c r="Z63" i="1"/>
  <c r="Z73" i="1" s="1"/>
  <c r="D73" i="1"/>
  <c r="Y63" i="1"/>
  <c r="Y73" i="1" s="1"/>
  <c r="C73" i="1"/>
  <c r="X63" i="1"/>
  <c r="X73" i="1" s="1"/>
  <c r="B73" i="1"/>
  <c r="W63" i="1"/>
  <c r="W73" i="1" s="1"/>
  <c r="A73" i="1"/>
  <c r="AA58" i="1"/>
  <c r="Z58" i="1"/>
  <c r="Y58" i="1"/>
  <c r="N72" i="1"/>
  <c r="X58" i="1"/>
  <c r="W58" i="1"/>
  <c r="P72" i="1"/>
  <c r="O72" i="1"/>
  <c r="M72" i="1"/>
  <c r="L72" i="1"/>
  <c r="Z72" i="1" l="1"/>
  <c r="X72" i="1"/>
  <c r="W72" i="1"/>
</calcChain>
</file>

<file path=xl/sharedStrings.xml><?xml version="1.0" encoding="utf-8"?>
<sst xmlns="http://schemas.openxmlformats.org/spreadsheetml/2006/main" count="179" uniqueCount="41">
  <si>
    <t>Budgeted Hectares</t>
  </si>
  <si>
    <t>CY26</t>
  </si>
  <si>
    <t>CY27</t>
  </si>
  <si>
    <t>CY28</t>
  </si>
  <si>
    <t>CY29</t>
  </si>
  <si>
    <t>CY30</t>
  </si>
  <si>
    <t>Corindi - Blues (Soil)</t>
  </si>
  <si>
    <t>Corindi - Blues (2x Planted rows p/tunnel)</t>
  </si>
  <si>
    <t>Corindi - Blues (3x Planted rows p/tunnel)</t>
  </si>
  <si>
    <t>Corindi - Rasp</t>
  </si>
  <si>
    <t>Corindi - Black</t>
  </si>
  <si>
    <t>FNQ - Blues (2x Planted rows p/tunnel)</t>
  </si>
  <si>
    <t>FNQ - Blues (3x Planted rows p/tunnel)</t>
  </si>
  <si>
    <t>FNQ - Blues (2x Planted rows p/tunnel - no leg rows)</t>
  </si>
  <si>
    <t>FNQ - Blues (3x Planted rows p/tunnel - no leg rows)</t>
  </si>
  <si>
    <t>WA - Blues</t>
  </si>
  <si>
    <t>Tasmania - Blues (Soil)</t>
  </si>
  <si>
    <t>Tasmania - Blues (3x Planted rows p/tunnel)</t>
  </si>
  <si>
    <t>Tasmania - Rasp</t>
  </si>
  <si>
    <t>Tasmania - Black</t>
  </si>
  <si>
    <t>Lineal planted meters p/Ha (2-row tunnels)</t>
  </si>
  <si>
    <t>Tunnel width (m)</t>
  </si>
  <si>
    <t>Planted rows p/tunnel</t>
  </si>
  <si>
    <t>Lineal planted meters p/Ha (3-row tunnels)</t>
  </si>
  <si>
    <t>Travel row %</t>
  </si>
  <si>
    <t>Leg row %</t>
  </si>
  <si>
    <t>Soil</t>
  </si>
  <si>
    <t>2x planted row tunnels</t>
  </si>
  <si>
    <t>3x planted row tunnels</t>
  </si>
  <si>
    <t>Hectares - Travel Rows (Grande)</t>
  </si>
  <si>
    <t>Hectares - Leg Rows</t>
  </si>
  <si>
    <t>Corindi</t>
  </si>
  <si>
    <t>FNQ</t>
  </si>
  <si>
    <t>WA</t>
  </si>
  <si>
    <t>Tasmania</t>
  </si>
  <si>
    <t>LINEAL METERS - Travel Rows (Grande)</t>
  </si>
  <si>
    <t>LINEAL METERS - Leg Rows</t>
  </si>
  <si>
    <t>LINEAL METERS - All Rows (Agovor)</t>
  </si>
  <si>
    <t>TOTAL LINEAL METERS - Travel Rows (Grande)</t>
  </si>
  <si>
    <t>TOTAL LINEAL METERS - Leg Rows</t>
  </si>
  <si>
    <t>TOTAL LINEAL METERS - All Rows (Agovor)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</si>
</sst>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_-;\-* #,##0_-;_-* \-??_-;_-@_-"/>
    <numFmt numFmtId="165" formatCode="_(* #,##0.00_);_(* \(#,##0.00\);_(* \-??_);_(@_)"/>
    <numFmt numFmtId="166" formatCode="0.0"/>
    <numFmt numFmtId="167" formatCode="_-* #,##0.00_-;\-* #,##0.00_-;_-* \-??_-;_-@_-"/>
  </numFmts>
  <fonts count="4" x14ac:knownFonts="1">
    <font>
      <sz val="11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3" fillId="0" borderId="0"/>
    <xf numFmtId="9" fontId="3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3" fillId="2" borderId="1" xfId="1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9" fontId="3" fillId="0" borderId="1" xfId="2" applyBorder="1" applyAlignment="1">
      <alignment horizontal="center"/>
    </xf>
    <xf numFmtId="9" fontId="3" fillId="0" borderId="0" xfId="2" applyAlignment="1">
      <alignment horizontal="center"/>
    </xf>
    <xf numFmtId="1" fontId="3" fillId="2" borderId="1" xfId="1" applyNumberFormat="1" applyFill="1" applyBorder="1" applyAlignment="1">
      <alignment horizontal="center"/>
    </xf>
    <xf numFmtId="167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BBD493F3-00E1-4292-86F2-F18EF84E503A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topLeftCell="A54" zoomScaleNormal="100" workbookViewId="0">
      <selection activeCell="G67" sqref="G67"/>
    </sheetView>
  </sheetViews>
  <sheetFormatPr defaultColWidth="10.28515625" defaultRowHeight="15" x14ac:dyDescent="0.25"/>
  <sheetData>
    <row r="1" spans="1:16" x14ac:dyDescent="0.25">
      <c r="A1" s="13" t="s">
        <v>0</v>
      </c>
      <c r="B1" s="13"/>
      <c r="C1" s="13"/>
      <c r="D1" s="13"/>
      <c r="E1" s="13"/>
      <c r="F1" s="13"/>
      <c r="G1" s="13"/>
    </row>
    <row r="2" spans="1:16" x14ac:dyDescent="0.25">
      <c r="A2" s="13"/>
      <c r="B2" s="13"/>
      <c r="C2" s="13"/>
      <c r="D2" s="13"/>
      <c r="E2" s="13"/>
      <c r="F2" s="13"/>
      <c r="G2" s="13"/>
    </row>
    <row r="3" spans="1:1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16" x14ac:dyDescent="0.25">
      <c r="A4" s="2">
        <v>10.26</v>
      </c>
      <c r="B4" s="2">
        <v>10.26</v>
      </c>
      <c r="C4" s="2">
        <v>10.26</v>
      </c>
      <c r="D4" s="2">
        <v>10.26</v>
      </c>
      <c r="E4" s="2">
        <v>10.26</v>
      </c>
      <c r="F4" t="s">
        <v>6</v>
      </c>
      <c r="L4" s="3"/>
      <c r="M4" s="3"/>
      <c r="N4" s="3"/>
      <c r="O4" s="3"/>
      <c r="P4" s="3"/>
    </row>
    <row r="5" spans="1:16" x14ac:dyDescent="0.25">
      <c r="A5" s="2">
        <v>35.65</v>
      </c>
      <c r="B5" s="2">
        <v>35.65</v>
      </c>
      <c r="C5" s="2">
        <v>35.65</v>
      </c>
      <c r="D5" s="2">
        <v>35.65</v>
      </c>
      <c r="E5" s="2">
        <v>35.65</v>
      </c>
      <c r="F5" t="s">
        <v>7</v>
      </c>
    </row>
    <row r="6" spans="1:16" x14ac:dyDescent="0.25">
      <c r="A6" s="2">
        <v>101.09</v>
      </c>
      <c r="B6" s="2">
        <v>137.09</v>
      </c>
      <c r="C6" s="2">
        <v>137.09</v>
      </c>
      <c r="D6" s="2">
        <v>137.09</v>
      </c>
      <c r="E6" s="2">
        <v>137.09</v>
      </c>
      <c r="F6" t="s">
        <v>8</v>
      </c>
    </row>
    <row r="7" spans="1:16" x14ac:dyDescent="0.25">
      <c r="A7" s="2">
        <v>104</v>
      </c>
      <c r="B7" s="2">
        <v>100</v>
      </c>
      <c r="C7" s="2">
        <v>100</v>
      </c>
      <c r="D7" s="2">
        <v>100</v>
      </c>
      <c r="E7" s="2">
        <v>100</v>
      </c>
      <c r="F7" t="s">
        <v>9</v>
      </c>
    </row>
    <row r="8" spans="1:16" x14ac:dyDescent="0.25">
      <c r="A8" s="2">
        <v>18</v>
      </c>
      <c r="B8" s="2">
        <v>18</v>
      </c>
      <c r="C8" s="2">
        <v>18</v>
      </c>
      <c r="D8" s="2">
        <v>18</v>
      </c>
      <c r="E8" s="2">
        <v>18</v>
      </c>
      <c r="F8" t="s">
        <v>10</v>
      </c>
    </row>
    <row r="9" spans="1:16" x14ac:dyDescent="0.25">
      <c r="A9" s="2">
        <v>16.3</v>
      </c>
      <c r="B9" s="2">
        <v>16.3</v>
      </c>
      <c r="C9" s="2">
        <v>16.3</v>
      </c>
      <c r="D9" s="2">
        <v>16.3</v>
      </c>
      <c r="E9" s="2">
        <v>16.3</v>
      </c>
      <c r="F9" t="s">
        <v>11</v>
      </c>
    </row>
    <row r="10" spans="1:16" x14ac:dyDescent="0.25">
      <c r="A10" s="2">
        <v>21.7</v>
      </c>
      <c r="B10" s="2">
        <v>57.7</v>
      </c>
      <c r="C10" s="2">
        <v>79.7</v>
      </c>
      <c r="D10" s="2">
        <v>79.7</v>
      </c>
      <c r="E10" s="2">
        <v>79.7</v>
      </c>
      <c r="F10" t="s">
        <v>12</v>
      </c>
    </row>
    <row r="11" spans="1:16" x14ac:dyDescent="0.25">
      <c r="A11" s="2">
        <v>26</v>
      </c>
      <c r="B11" s="2">
        <v>26</v>
      </c>
      <c r="C11" s="2">
        <v>26</v>
      </c>
      <c r="D11" s="2">
        <v>26</v>
      </c>
      <c r="E11" s="2">
        <v>26</v>
      </c>
      <c r="F11" t="s">
        <v>13</v>
      </c>
    </row>
    <row r="12" spans="1:16" x14ac:dyDescent="0.25">
      <c r="A12" s="2">
        <v>34</v>
      </c>
      <c r="B12" s="2">
        <v>34</v>
      </c>
      <c r="C12" s="2">
        <v>34</v>
      </c>
      <c r="D12" s="2">
        <v>34</v>
      </c>
      <c r="E12" s="2">
        <v>34</v>
      </c>
      <c r="F12" t="s">
        <v>14</v>
      </c>
    </row>
    <row r="13" spans="1:16" x14ac:dyDescent="0.25">
      <c r="A13" s="2">
        <v>51</v>
      </c>
      <c r="B13" s="2">
        <v>51</v>
      </c>
      <c r="C13" s="2">
        <v>51</v>
      </c>
      <c r="D13" s="2">
        <v>51</v>
      </c>
      <c r="E13" s="2">
        <v>51</v>
      </c>
      <c r="F13" t="s">
        <v>15</v>
      </c>
    </row>
    <row r="14" spans="1:16" x14ac:dyDescent="0.25">
      <c r="A14" s="2">
        <v>55.27</v>
      </c>
      <c r="B14" s="2">
        <v>48.52</v>
      </c>
      <c r="C14" s="2">
        <v>48.52</v>
      </c>
      <c r="D14" s="2">
        <v>48.52</v>
      </c>
      <c r="E14" s="2">
        <v>48.52</v>
      </c>
      <c r="F14" t="s">
        <v>16</v>
      </c>
    </row>
    <row r="15" spans="1:16" x14ac:dyDescent="0.25">
      <c r="A15" s="2">
        <v>36.729999999999997</v>
      </c>
      <c r="B15" s="2">
        <v>59.48</v>
      </c>
      <c r="C15" s="2">
        <v>59.48</v>
      </c>
      <c r="D15" s="2">
        <v>59.48</v>
      </c>
      <c r="E15" s="2">
        <v>59.48</v>
      </c>
      <c r="F15" t="s">
        <v>17</v>
      </c>
    </row>
    <row r="16" spans="1:16" x14ac:dyDescent="0.25">
      <c r="A16" s="2">
        <v>85</v>
      </c>
      <c r="B16" s="2">
        <v>85</v>
      </c>
      <c r="C16" s="2">
        <v>85</v>
      </c>
      <c r="D16" s="2">
        <v>85</v>
      </c>
      <c r="E16" s="2">
        <v>85</v>
      </c>
      <c r="F16" t="s">
        <v>18</v>
      </c>
    </row>
    <row r="17" spans="1:17" x14ac:dyDescent="0.25">
      <c r="A17" s="2">
        <v>44</v>
      </c>
      <c r="B17" s="2">
        <v>44</v>
      </c>
      <c r="C17" s="2">
        <v>44</v>
      </c>
      <c r="D17" s="2">
        <v>44</v>
      </c>
      <c r="E17" s="2">
        <v>44</v>
      </c>
      <c r="F17" t="s">
        <v>19</v>
      </c>
    </row>
    <row r="19" spans="1:17" x14ac:dyDescent="0.25">
      <c r="A19" s="4">
        <v>3333</v>
      </c>
      <c r="B19" t="s">
        <v>20</v>
      </c>
      <c r="D19" t="s">
        <v>21</v>
      </c>
      <c r="E19" t="s">
        <v>22</v>
      </c>
    </row>
    <row r="20" spans="1:17" x14ac:dyDescent="0.25">
      <c r="A20" s="5">
        <f>(10000/D20)*E20</f>
        <v>3529.4117647058824</v>
      </c>
      <c r="B20" t="s">
        <v>23</v>
      </c>
      <c r="D20" s="6">
        <v>8.5</v>
      </c>
      <c r="E20" s="6">
        <v>3</v>
      </c>
    </row>
    <row r="21" spans="1:17" ht="30" customHeight="1" x14ac:dyDescent="0.25">
      <c r="A21" s="7" t="s">
        <v>24</v>
      </c>
      <c r="B21" s="7" t="s">
        <v>25</v>
      </c>
    </row>
    <row r="22" spans="1:17" x14ac:dyDescent="0.25">
      <c r="A22" s="8">
        <v>1</v>
      </c>
      <c r="B22" s="8">
        <v>0</v>
      </c>
      <c r="C22" t="s">
        <v>26</v>
      </c>
    </row>
    <row r="23" spans="1:17" x14ac:dyDescent="0.25">
      <c r="A23" s="8">
        <v>0.33</v>
      </c>
      <c r="B23" s="8">
        <v>0.67</v>
      </c>
      <c r="C23" t="s">
        <v>27</v>
      </c>
    </row>
    <row r="24" spans="1:17" x14ac:dyDescent="0.25">
      <c r="A24" s="8">
        <v>0.5</v>
      </c>
      <c r="B24" s="8">
        <v>0.5</v>
      </c>
      <c r="C24" t="s">
        <v>28</v>
      </c>
    </row>
    <row r="25" spans="1:17" x14ac:dyDescent="0.25">
      <c r="A25" s="9"/>
      <c r="B25" s="9"/>
    </row>
    <row r="27" spans="1:17" x14ac:dyDescent="0.25">
      <c r="A27" s="12" t="s">
        <v>29</v>
      </c>
      <c r="B27" s="12"/>
      <c r="C27" s="12"/>
      <c r="D27" s="12"/>
      <c r="E27" s="12"/>
      <c r="L27" s="12" t="s">
        <v>30</v>
      </c>
      <c r="M27" s="12"/>
      <c r="N27" s="12"/>
      <c r="O27" s="12"/>
      <c r="P27" s="12"/>
    </row>
    <row r="28" spans="1:17" x14ac:dyDescent="0.25">
      <c r="A28" s="1" t="s">
        <v>1</v>
      </c>
      <c r="B28" s="1" t="s">
        <v>2</v>
      </c>
      <c r="C28" s="1" t="s">
        <v>3</v>
      </c>
      <c r="D28" s="1" t="s">
        <v>4</v>
      </c>
      <c r="E28" s="1" t="s">
        <v>5</v>
      </c>
      <c r="L28" s="1" t="s">
        <v>1</v>
      </c>
      <c r="M28" s="1" t="s">
        <v>2</v>
      </c>
      <c r="N28" s="1" t="s">
        <v>3</v>
      </c>
      <c r="O28" s="1" t="s">
        <v>4</v>
      </c>
      <c r="P28" s="1" t="s">
        <v>5</v>
      </c>
    </row>
    <row r="29" spans="1:17" x14ac:dyDescent="0.25">
      <c r="A29" s="10">
        <f>A4*$A$22</f>
        <v>10.26</v>
      </c>
      <c r="B29" s="10">
        <f>B4*$A$22</f>
        <v>10.26</v>
      </c>
      <c r="C29" s="10">
        <f>C4*$A$22</f>
        <v>10.26</v>
      </c>
      <c r="D29" s="10">
        <f>D4*$A$22</f>
        <v>10.26</v>
      </c>
      <c r="E29" s="10">
        <f>E4*$A$22</f>
        <v>10.26</v>
      </c>
      <c r="F29" t="s">
        <v>6</v>
      </c>
      <c r="L29" s="10">
        <f>A4*$B$22</f>
        <v>0</v>
      </c>
      <c r="M29" s="10">
        <f>B4*$B$22</f>
        <v>0</v>
      </c>
      <c r="N29" s="10">
        <f>C4*$B$22</f>
        <v>0</v>
      </c>
      <c r="O29" s="10">
        <f>D4*$B$22</f>
        <v>0</v>
      </c>
      <c r="P29" s="10">
        <f>E4*$B$22</f>
        <v>0</v>
      </c>
      <c r="Q29" t="s">
        <v>6</v>
      </c>
    </row>
    <row r="30" spans="1:17" x14ac:dyDescent="0.25">
      <c r="A30" s="10">
        <f>A5*$A$23</f>
        <v>11.7645</v>
      </c>
      <c r="B30" s="10">
        <f>B5*$A$23</f>
        <v>11.7645</v>
      </c>
      <c r="C30" s="10">
        <f>C5*$A$23</f>
        <v>11.7645</v>
      </c>
      <c r="D30" s="10">
        <f>D5*$A$23</f>
        <v>11.7645</v>
      </c>
      <c r="E30" s="10">
        <f>E5*$A$23</f>
        <v>11.7645</v>
      </c>
      <c r="F30" t="s">
        <v>7</v>
      </c>
      <c r="L30" s="10">
        <f>A5*$B$23</f>
        <v>23.8855</v>
      </c>
      <c r="M30" s="10">
        <f>B5*$B$23</f>
        <v>23.8855</v>
      </c>
      <c r="N30" s="10">
        <f>C5*$B$23</f>
        <v>23.8855</v>
      </c>
      <c r="O30" s="10">
        <f>D5*$B$23</f>
        <v>23.8855</v>
      </c>
      <c r="P30" s="10">
        <f>E5*$B$23</f>
        <v>23.8855</v>
      </c>
      <c r="Q30" t="s">
        <v>7</v>
      </c>
    </row>
    <row r="31" spans="1:17" x14ac:dyDescent="0.25">
      <c r="A31" s="10">
        <f t="shared" ref="A31:E33" si="0">A6*$A$24</f>
        <v>50.545000000000002</v>
      </c>
      <c r="B31" s="10">
        <f t="shared" si="0"/>
        <v>68.545000000000002</v>
      </c>
      <c r="C31" s="10">
        <f t="shared" si="0"/>
        <v>68.545000000000002</v>
      </c>
      <c r="D31" s="10">
        <f t="shared" si="0"/>
        <v>68.545000000000002</v>
      </c>
      <c r="E31" s="10">
        <f t="shared" si="0"/>
        <v>68.545000000000002</v>
      </c>
      <c r="F31" t="s">
        <v>8</v>
      </c>
      <c r="L31" s="10">
        <f t="shared" ref="L31:P33" si="1">A6*$B$24</f>
        <v>50.545000000000002</v>
      </c>
      <c r="M31" s="10">
        <f t="shared" si="1"/>
        <v>68.545000000000002</v>
      </c>
      <c r="N31" s="10">
        <f t="shared" si="1"/>
        <v>68.545000000000002</v>
      </c>
      <c r="O31" s="10">
        <f t="shared" si="1"/>
        <v>68.545000000000002</v>
      </c>
      <c r="P31" s="10">
        <f t="shared" si="1"/>
        <v>68.545000000000002</v>
      </c>
      <c r="Q31" t="s">
        <v>8</v>
      </c>
    </row>
    <row r="32" spans="1:17" x14ac:dyDescent="0.25">
      <c r="A32" s="10">
        <f t="shared" si="0"/>
        <v>52</v>
      </c>
      <c r="B32" s="10">
        <f t="shared" si="0"/>
        <v>50</v>
      </c>
      <c r="C32" s="10">
        <f t="shared" si="0"/>
        <v>50</v>
      </c>
      <c r="D32" s="10">
        <f t="shared" si="0"/>
        <v>50</v>
      </c>
      <c r="E32" s="10">
        <f t="shared" si="0"/>
        <v>50</v>
      </c>
      <c r="F32" t="s">
        <v>9</v>
      </c>
      <c r="L32" s="10">
        <f t="shared" si="1"/>
        <v>52</v>
      </c>
      <c r="M32" s="10">
        <f t="shared" si="1"/>
        <v>50</v>
      </c>
      <c r="N32" s="10">
        <f t="shared" si="1"/>
        <v>50</v>
      </c>
      <c r="O32" s="10">
        <f t="shared" si="1"/>
        <v>50</v>
      </c>
      <c r="P32" s="10">
        <f t="shared" si="1"/>
        <v>50</v>
      </c>
      <c r="Q32" t="s">
        <v>9</v>
      </c>
    </row>
    <row r="33" spans="1:17" x14ac:dyDescent="0.25">
      <c r="A33" s="10">
        <f t="shared" si="0"/>
        <v>9</v>
      </c>
      <c r="B33" s="10">
        <f t="shared" si="0"/>
        <v>9</v>
      </c>
      <c r="C33" s="10">
        <f t="shared" si="0"/>
        <v>9</v>
      </c>
      <c r="D33" s="10">
        <f t="shared" si="0"/>
        <v>9</v>
      </c>
      <c r="E33" s="10">
        <f t="shared" si="0"/>
        <v>9</v>
      </c>
      <c r="F33" t="s">
        <v>10</v>
      </c>
      <c r="L33" s="10">
        <f t="shared" si="1"/>
        <v>9</v>
      </c>
      <c r="M33" s="10">
        <f t="shared" si="1"/>
        <v>9</v>
      </c>
      <c r="N33" s="10">
        <f t="shared" si="1"/>
        <v>9</v>
      </c>
      <c r="O33" s="10">
        <f t="shared" si="1"/>
        <v>9</v>
      </c>
      <c r="P33" s="10">
        <f t="shared" si="1"/>
        <v>9</v>
      </c>
      <c r="Q33" t="s">
        <v>10</v>
      </c>
    </row>
    <row r="34" spans="1:17" x14ac:dyDescent="0.25">
      <c r="A34" s="10">
        <f>A9*$A$23</f>
        <v>5.3790000000000004</v>
      </c>
      <c r="B34" s="10">
        <f>B9*$A$23</f>
        <v>5.3790000000000004</v>
      </c>
      <c r="C34" s="10">
        <f>C9*$A$23</f>
        <v>5.3790000000000004</v>
      </c>
      <c r="D34" s="10">
        <f>D9*$A$23</f>
        <v>5.3790000000000004</v>
      </c>
      <c r="E34" s="10">
        <f>E9*$A$23</f>
        <v>5.3790000000000004</v>
      </c>
      <c r="F34" t="s">
        <v>11</v>
      </c>
      <c r="L34" s="10">
        <f>A9*$B$23</f>
        <v>10.921000000000001</v>
      </c>
      <c r="M34" s="10">
        <f>B9*$B$23</f>
        <v>10.921000000000001</v>
      </c>
      <c r="N34" s="10">
        <f>C9*$B$23</f>
        <v>10.921000000000001</v>
      </c>
      <c r="O34" s="10">
        <f>D9*$B$23</f>
        <v>10.921000000000001</v>
      </c>
      <c r="P34" s="10">
        <f>E9*$B$23</f>
        <v>10.921000000000001</v>
      </c>
      <c r="Q34" t="s">
        <v>11</v>
      </c>
    </row>
    <row r="35" spans="1:17" x14ac:dyDescent="0.25">
      <c r="A35" s="10">
        <f>A10*$A$24</f>
        <v>10.85</v>
      </c>
      <c r="B35" s="10">
        <f>B10*$A$24</f>
        <v>28.85</v>
      </c>
      <c r="C35" s="10">
        <f>C10*$A$24</f>
        <v>39.85</v>
      </c>
      <c r="D35" s="10">
        <f>D10*$A$24</f>
        <v>39.85</v>
      </c>
      <c r="E35" s="10">
        <f>E10*$A$24</f>
        <v>39.85</v>
      </c>
      <c r="F35" t="s">
        <v>12</v>
      </c>
      <c r="L35" s="10">
        <f>A10*$B$24</f>
        <v>10.85</v>
      </c>
      <c r="M35" s="10">
        <f>B10*$B$24</f>
        <v>28.85</v>
      </c>
      <c r="N35" s="10">
        <f>C10*$B$24</f>
        <v>39.85</v>
      </c>
      <c r="O35" s="10">
        <f>D10*$B$24</f>
        <v>39.85</v>
      </c>
      <c r="P35" s="10">
        <f>E10*$B$24</f>
        <v>39.85</v>
      </c>
      <c r="Q35" t="s">
        <v>12</v>
      </c>
    </row>
    <row r="36" spans="1:17" x14ac:dyDescent="0.25">
      <c r="A36" s="10">
        <f>A11*$A$23</f>
        <v>8.58</v>
      </c>
      <c r="B36" s="10">
        <f>B11*$A$23</f>
        <v>8.58</v>
      </c>
      <c r="C36" s="10">
        <f>C11*$A$23</f>
        <v>8.58</v>
      </c>
      <c r="D36" s="10">
        <f>D11*$A$23</f>
        <v>8.58</v>
      </c>
      <c r="E36" s="10">
        <f>E11*$A$23</f>
        <v>8.58</v>
      </c>
      <c r="F36" t="s">
        <v>13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t="s">
        <v>13</v>
      </c>
    </row>
    <row r="37" spans="1:17" x14ac:dyDescent="0.25">
      <c r="A37" s="10">
        <f t="shared" ref="A37:E38" si="2">A12*$A$24</f>
        <v>17</v>
      </c>
      <c r="B37" s="10">
        <f t="shared" si="2"/>
        <v>17</v>
      </c>
      <c r="C37" s="10">
        <f t="shared" si="2"/>
        <v>17</v>
      </c>
      <c r="D37" s="10">
        <f t="shared" si="2"/>
        <v>17</v>
      </c>
      <c r="E37" s="10">
        <f t="shared" si="2"/>
        <v>17</v>
      </c>
      <c r="F37" t="s">
        <v>14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t="s">
        <v>14</v>
      </c>
    </row>
    <row r="38" spans="1:17" x14ac:dyDescent="0.25">
      <c r="A38" s="10">
        <f t="shared" si="2"/>
        <v>25.5</v>
      </c>
      <c r="B38" s="10">
        <f t="shared" si="2"/>
        <v>25.5</v>
      </c>
      <c r="C38" s="10">
        <f t="shared" si="2"/>
        <v>25.5</v>
      </c>
      <c r="D38" s="10">
        <f t="shared" si="2"/>
        <v>25.5</v>
      </c>
      <c r="E38" s="10">
        <f t="shared" si="2"/>
        <v>25.5</v>
      </c>
      <c r="F38" t="s">
        <v>15</v>
      </c>
      <c r="L38" s="10">
        <f>A13*$B$24</f>
        <v>25.5</v>
      </c>
      <c r="M38" s="10">
        <f>B13*$B$24</f>
        <v>25.5</v>
      </c>
      <c r="N38" s="10">
        <f>C13*$B$24</f>
        <v>25.5</v>
      </c>
      <c r="O38" s="10">
        <f>D13*$B$24</f>
        <v>25.5</v>
      </c>
      <c r="P38" s="10">
        <f>E13*$B$24</f>
        <v>25.5</v>
      </c>
      <c r="Q38" t="s">
        <v>15</v>
      </c>
    </row>
    <row r="39" spans="1:17" x14ac:dyDescent="0.25">
      <c r="A39" s="10">
        <f>A14*$A$22</f>
        <v>55.27</v>
      </c>
      <c r="B39" s="10">
        <f>B14*$A$22</f>
        <v>48.52</v>
      </c>
      <c r="C39" s="10">
        <f>C14*$A$22</f>
        <v>48.52</v>
      </c>
      <c r="D39" s="10">
        <f>D14*$A$22</f>
        <v>48.52</v>
      </c>
      <c r="E39" s="10">
        <f>E14*$A$22</f>
        <v>48.52</v>
      </c>
      <c r="F39" t="s">
        <v>16</v>
      </c>
      <c r="L39" s="10">
        <f>A14*$B$22</f>
        <v>0</v>
      </c>
      <c r="M39" s="10">
        <f>B14*$B$22</f>
        <v>0</v>
      </c>
      <c r="N39" s="10">
        <f>C14*$B$22</f>
        <v>0</v>
      </c>
      <c r="O39" s="10">
        <f>D14*$B$22</f>
        <v>0</v>
      </c>
      <c r="P39" s="10">
        <f>E14*$B$22</f>
        <v>0</v>
      </c>
      <c r="Q39" t="s">
        <v>16</v>
      </c>
    </row>
    <row r="40" spans="1:17" x14ac:dyDescent="0.25">
      <c r="A40" s="10">
        <f t="shared" ref="A40:E42" si="3">A15*$A$24</f>
        <v>18.364999999999998</v>
      </c>
      <c r="B40" s="10">
        <f t="shared" si="3"/>
        <v>29.74</v>
      </c>
      <c r="C40" s="10">
        <f t="shared" si="3"/>
        <v>29.74</v>
      </c>
      <c r="D40" s="10">
        <f t="shared" si="3"/>
        <v>29.74</v>
      </c>
      <c r="E40" s="10">
        <f t="shared" si="3"/>
        <v>29.74</v>
      </c>
      <c r="F40" t="s">
        <v>17</v>
      </c>
      <c r="L40" s="10">
        <f t="shared" ref="L40:P42" si="4">A15*$B$24</f>
        <v>18.364999999999998</v>
      </c>
      <c r="M40" s="10">
        <f t="shared" si="4"/>
        <v>29.74</v>
      </c>
      <c r="N40" s="10">
        <f t="shared" si="4"/>
        <v>29.74</v>
      </c>
      <c r="O40" s="10">
        <f t="shared" si="4"/>
        <v>29.74</v>
      </c>
      <c r="P40" s="10">
        <f t="shared" si="4"/>
        <v>29.74</v>
      </c>
      <c r="Q40" t="s">
        <v>17</v>
      </c>
    </row>
    <row r="41" spans="1:17" x14ac:dyDescent="0.25">
      <c r="A41" s="10">
        <f t="shared" si="3"/>
        <v>42.5</v>
      </c>
      <c r="B41" s="10">
        <f t="shared" si="3"/>
        <v>42.5</v>
      </c>
      <c r="C41" s="10">
        <f t="shared" si="3"/>
        <v>42.5</v>
      </c>
      <c r="D41" s="10">
        <f t="shared" si="3"/>
        <v>42.5</v>
      </c>
      <c r="E41" s="10">
        <f t="shared" si="3"/>
        <v>42.5</v>
      </c>
      <c r="F41" t="s">
        <v>18</v>
      </c>
      <c r="L41" s="10">
        <f t="shared" si="4"/>
        <v>42.5</v>
      </c>
      <c r="M41" s="10">
        <f t="shared" si="4"/>
        <v>42.5</v>
      </c>
      <c r="N41" s="10">
        <f t="shared" si="4"/>
        <v>42.5</v>
      </c>
      <c r="O41" s="10">
        <f t="shared" si="4"/>
        <v>42.5</v>
      </c>
      <c r="P41" s="10">
        <f t="shared" si="4"/>
        <v>42.5</v>
      </c>
      <c r="Q41" t="s">
        <v>18</v>
      </c>
    </row>
    <row r="42" spans="1:17" x14ac:dyDescent="0.25">
      <c r="A42" s="10">
        <f t="shared" si="3"/>
        <v>22</v>
      </c>
      <c r="B42" s="10">
        <f t="shared" si="3"/>
        <v>22</v>
      </c>
      <c r="C42" s="10">
        <f t="shared" si="3"/>
        <v>22</v>
      </c>
      <c r="D42" s="10">
        <f t="shared" si="3"/>
        <v>22</v>
      </c>
      <c r="E42" s="10">
        <f t="shared" si="3"/>
        <v>22</v>
      </c>
      <c r="F42" t="s">
        <v>19</v>
      </c>
      <c r="L42" s="10">
        <f t="shared" si="4"/>
        <v>22</v>
      </c>
      <c r="M42" s="10">
        <f t="shared" si="4"/>
        <v>22</v>
      </c>
      <c r="N42" s="10">
        <f t="shared" si="4"/>
        <v>22</v>
      </c>
      <c r="O42" s="10">
        <f t="shared" si="4"/>
        <v>22</v>
      </c>
      <c r="P42" s="10">
        <f t="shared" si="4"/>
        <v>22</v>
      </c>
      <c r="Q42" t="s">
        <v>19</v>
      </c>
    </row>
    <row r="44" spans="1:17" x14ac:dyDescent="0.25">
      <c r="A44" s="12" t="s">
        <v>29</v>
      </c>
      <c r="B44" s="12"/>
      <c r="C44" s="12"/>
      <c r="D44" s="12"/>
      <c r="E44" s="12"/>
      <c r="L44" s="12" t="s">
        <v>30</v>
      </c>
      <c r="M44" s="12"/>
      <c r="N44" s="12"/>
      <c r="O44" s="12"/>
      <c r="P44" s="12"/>
    </row>
    <row r="45" spans="1:17" x14ac:dyDescent="0.25">
      <c r="A45" s="1" t="s">
        <v>1</v>
      </c>
      <c r="B45" s="1" t="s">
        <v>2</v>
      </c>
      <c r="C45" s="1" t="s">
        <v>3</v>
      </c>
      <c r="D45" s="1" t="s">
        <v>4</v>
      </c>
      <c r="E45" s="1" t="s">
        <v>5</v>
      </c>
      <c r="L45" s="1" t="s">
        <v>1</v>
      </c>
      <c r="M45" s="1" t="s">
        <v>2</v>
      </c>
      <c r="N45" s="1" t="s">
        <v>3</v>
      </c>
      <c r="O45" s="1" t="s">
        <v>4</v>
      </c>
      <c r="P45" s="1" t="s">
        <v>5</v>
      </c>
    </row>
    <row r="46" spans="1:17" x14ac:dyDescent="0.25">
      <c r="A46" s="10">
        <f>SUM(A29:A33)</f>
        <v>133.56950000000001</v>
      </c>
      <c r="B46" s="10">
        <f>SUM(B29:B33)</f>
        <v>149.56950000000001</v>
      </c>
      <c r="C46" s="10">
        <f>SUM(C29:C33)</f>
        <v>149.56950000000001</v>
      </c>
      <c r="D46" s="10">
        <f>SUM(D29:D33)</f>
        <v>149.56950000000001</v>
      </c>
      <c r="E46" s="10">
        <f>SUM(E29:E33)</f>
        <v>149.56950000000001</v>
      </c>
      <c r="F46" t="s">
        <v>31</v>
      </c>
      <c r="L46" s="10">
        <f>SUM(L29:L33)</f>
        <v>135.43049999999999</v>
      </c>
      <c r="M46" s="10">
        <f>SUM(M29:M33)</f>
        <v>151.43049999999999</v>
      </c>
      <c r="N46" s="10">
        <f>SUM(N29:N33)</f>
        <v>151.43049999999999</v>
      </c>
      <c r="O46" s="10">
        <f>SUM(O29:O33)</f>
        <v>151.43049999999999</v>
      </c>
      <c r="P46" s="10">
        <f>SUM(P29:P33)</f>
        <v>151.43049999999999</v>
      </c>
      <c r="Q46" t="s">
        <v>31</v>
      </c>
    </row>
    <row r="47" spans="1:17" x14ac:dyDescent="0.25">
      <c r="A47" s="10">
        <f>SUM(A34:A37)</f>
        <v>41.808999999999997</v>
      </c>
      <c r="B47" s="10">
        <f>SUM(B34:B37)</f>
        <v>59.808999999999997</v>
      </c>
      <c r="C47" s="10">
        <f>SUM(C34:C37)</f>
        <v>70.808999999999997</v>
      </c>
      <c r="D47" s="10">
        <f>SUM(D34:D37)</f>
        <v>70.808999999999997</v>
      </c>
      <c r="E47" s="10">
        <f>SUM(E34:E37)</f>
        <v>70.808999999999997</v>
      </c>
      <c r="F47" t="s">
        <v>32</v>
      </c>
      <c r="L47" s="10">
        <f>SUM(L34:L37)</f>
        <v>21.771000000000001</v>
      </c>
      <c r="M47" s="10">
        <f>SUM(M34:M37)</f>
        <v>39.771000000000001</v>
      </c>
      <c r="N47" s="10">
        <f>SUM(N34:N37)</f>
        <v>50.771000000000001</v>
      </c>
      <c r="O47" s="10">
        <f>SUM(O34:O37)</f>
        <v>50.771000000000001</v>
      </c>
      <c r="P47" s="10">
        <f>SUM(P34:P37)</f>
        <v>50.771000000000001</v>
      </c>
      <c r="Q47" t="s">
        <v>32</v>
      </c>
    </row>
    <row r="48" spans="1:17" x14ac:dyDescent="0.25">
      <c r="A48" s="10">
        <f>A38</f>
        <v>25.5</v>
      </c>
      <c r="B48" s="10">
        <f>B38</f>
        <v>25.5</v>
      </c>
      <c r="C48" s="10">
        <f>C38</f>
        <v>25.5</v>
      </c>
      <c r="D48" s="10">
        <f>D38</f>
        <v>25.5</v>
      </c>
      <c r="E48" s="10">
        <f>E38</f>
        <v>25.5</v>
      </c>
      <c r="F48" t="s">
        <v>33</v>
      </c>
      <c r="L48" s="10">
        <f>L38</f>
        <v>25.5</v>
      </c>
      <c r="M48" s="10">
        <f>M38</f>
        <v>25.5</v>
      </c>
      <c r="N48" s="10">
        <f>N38</f>
        <v>25.5</v>
      </c>
      <c r="O48" s="10">
        <f>O38</f>
        <v>25.5</v>
      </c>
      <c r="P48" s="10">
        <f>P38</f>
        <v>25.5</v>
      </c>
      <c r="Q48" t="s">
        <v>33</v>
      </c>
    </row>
    <row r="49" spans="1:28" x14ac:dyDescent="0.25">
      <c r="A49" s="10">
        <f>SUM(A39:A42)</f>
        <v>138.13499999999999</v>
      </c>
      <c r="B49" s="10">
        <f>SUM(B39:B42)</f>
        <v>142.76</v>
      </c>
      <c r="C49" s="10">
        <f>SUM(C39:C42)</f>
        <v>142.76</v>
      </c>
      <c r="D49" s="10">
        <f>SUM(D39:D42)</f>
        <v>142.76</v>
      </c>
      <c r="E49" s="10">
        <f>SUM(E39:E42)</f>
        <v>142.76</v>
      </c>
      <c r="F49" t="s">
        <v>34</v>
      </c>
      <c r="L49" s="10">
        <f>SUM(L39:L42)</f>
        <v>82.864999999999995</v>
      </c>
      <c r="M49" s="10">
        <f>SUM(M39:M42)</f>
        <v>94.24</v>
      </c>
      <c r="N49" s="10">
        <f>SUM(N39:N42)</f>
        <v>94.24</v>
      </c>
      <c r="O49" s="10">
        <f>SUM(O39:O42)</f>
        <v>94.24</v>
      </c>
      <c r="P49" s="10">
        <f>SUM(P39:P42)</f>
        <v>94.24</v>
      </c>
      <c r="Q49" t="s">
        <v>34</v>
      </c>
    </row>
    <row r="53" spans="1:28" x14ac:dyDescent="0.25">
      <c r="A53" s="12" t="s">
        <v>35</v>
      </c>
      <c r="B53" s="12"/>
      <c r="C53" s="12"/>
      <c r="D53" s="12"/>
      <c r="E53" s="12"/>
      <c r="L53" s="12" t="s">
        <v>36</v>
      </c>
      <c r="M53" s="12"/>
      <c r="N53" s="12"/>
      <c r="O53" s="12"/>
      <c r="P53" s="12"/>
      <c r="W53" s="12" t="s">
        <v>37</v>
      </c>
      <c r="X53" s="12"/>
      <c r="Y53" s="12"/>
      <c r="Z53" s="12"/>
      <c r="AA53" s="12"/>
    </row>
    <row r="54" spans="1:28" x14ac:dyDescent="0.25">
      <c r="A54" s="1" t="s">
        <v>1</v>
      </c>
      <c r="B54" s="1" t="s">
        <v>2</v>
      </c>
      <c r="C54" s="1" t="s">
        <v>3</v>
      </c>
      <c r="D54" s="1" t="s">
        <v>4</v>
      </c>
      <c r="E54" s="1" t="s">
        <v>5</v>
      </c>
      <c r="L54" s="1" t="s">
        <v>1</v>
      </c>
      <c r="M54" s="1" t="s">
        <v>2</v>
      </c>
      <c r="N54" s="1" t="s">
        <v>3</v>
      </c>
      <c r="O54" s="1" t="s">
        <v>4</v>
      </c>
      <c r="P54" s="1" t="s">
        <v>5</v>
      </c>
      <c r="W54" s="1" t="s">
        <v>1</v>
      </c>
      <c r="X54" s="1" t="s">
        <v>2</v>
      </c>
      <c r="Y54" s="1" t="s">
        <v>3</v>
      </c>
      <c r="Z54" s="1" t="s">
        <v>4</v>
      </c>
      <c r="AA54" s="1" t="s">
        <v>5</v>
      </c>
    </row>
    <row r="55" spans="1:28" x14ac:dyDescent="0.25">
      <c r="A55" s="4">
        <f t="shared" ref="A55:E56" si="5">A4*$A$19*$A22</f>
        <v>34196.58</v>
      </c>
      <c r="B55" s="4">
        <f t="shared" si="5"/>
        <v>34196.58</v>
      </c>
      <c r="C55" s="4">
        <f t="shared" si="5"/>
        <v>34196.58</v>
      </c>
      <c r="D55" s="4">
        <f t="shared" si="5"/>
        <v>34196.58</v>
      </c>
      <c r="E55" s="4">
        <f t="shared" si="5"/>
        <v>34196.58</v>
      </c>
      <c r="F55" t="s">
        <v>6</v>
      </c>
      <c r="L55" s="4">
        <f>A4*$A$19*$B$22</f>
        <v>0</v>
      </c>
      <c r="M55" s="4">
        <f>B4*$A$19*$B$22</f>
        <v>0</v>
      </c>
      <c r="N55" s="4">
        <f>C4*$A$19*$B$22</f>
        <v>0</v>
      </c>
      <c r="O55" s="4">
        <f>D4*$A$19*$B$22</f>
        <v>0</v>
      </c>
      <c r="P55" s="4">
        <f>E4*$A$19*$B$22</f>
        <v>0</v>
      </c>
      <c r="Q55" t="s">
        <v>6</v>
      </c>
      <c r="W55" s="4">
        <f t="shared" ref="W55:W68" si="6">(A55*2)+L55</f>
        <v>68393.16</v>
      </c>
      <c r="X55" s="4">
        <f t="shared" ref="X55:X68" si="7">(B55*2)+M55</f>
        <v>68393.16</v>
      </c>
      <c r="Y55" s="4">
        <f t="shared" ref="Y55:Y68" si="8">(C55*2)+N55</f>
        <v>68393.16</v>
      </c>
      <c r="Z55" s="4">
        <f t="shared" ref="Z55:Z68" si="9">(D55*2)+O55</f>
        <v>68393.16</v>
      </c>
      <c r="AA55" s="4">
        <f t="shared" ref="AA55:AA68" si="10">(E55*2)+P55</f>
        <v>68393.16</v>
      </c>
      <c r="AB55" t="s">
        <v>6</v>
      </c>
    </row>
    <row r="56" spans="1:28" x14ac:dyDescent="0.25">
      <c r="A56" s="4">
        <f t="shared" si="5"/>
        <v>39211.078500000003</v>
      </c>
      <c r="B56" s="4">
        <f t="shared" si="5"/>
        <v>39211.078500000003</v>
      </c>
      <c r="C56" s="4">
        <f t="shared" si="5"/>
        <v>39211.078500000003</v>
      </c>
      <c r="D56" s="4">
        <f t="shared" si="5"/>
        <v>39211.078500000003</v>
      </c>
      <c r="E56" s="4">
        <f t="shared" si="5"/>
        <v>39211.078500000003</v>
      </c>
      <c r="F56" t="s">
        <v>7</v>
      </c>
      <c r="L56" s="4">
        <f>A5*$A$19*$B$23</f>
        <v>79610.371500000008</v>
      </c>
      <c r="M56" s="4">
        <f>B5*$A$19*$B$23</f>
        <v>79610.371500000008</v>
      </c>
      <c r="N56" s="4">
        <f>C5*$A$19*$B$23</f>
        <v>79610.371500000008</v>
      </c>
      <c r="O56" s="4">
        <f>D5*$A$19*$B$23</f>
        <v>79610.371500000008</v>
      </c>
      <c r="P56" s="4">
        <f>E5*$A$19*$B$23</f>
        <v>79610.371500000008</v>
      </c>
      <c r="Q56" t="s">
        <v>7</v>
      </c>
      <c r="W56" s="4">
        <f t="shared" si="6"/>
        <v>158032.52850000001</v>
      </c>
      <c r="X56" s="4">
        <f t="shared" si="7"/>
        <v>158032.52850000001</v>
      </c>
      <c r="Y56" s="4">
        <f t="shared" si="8"/>
        <v>158032.52850000001</v>
      </c>
      <c r="Z56" s="4">
        <f t="shared" si="9"/>
        <v>158032.52850000001</v>
      </c>
      <c r="AA56" s="4">
        <f t="shared" si="10"/>
        <v>158032.52850000001</v>
      </c>
      <c r="AB56" t="s">
        <v>7</v>
      </c>
    </row>
    <row r="57" spans="1:28" x14ac:dyDescent="0.25">
      <c r="A57" s="4">
        <f>A6*$A$20*$A24</f>
        <v>178394.11764705883</v>
      </c>
      <c r="B57" s="4">
        <f>B6*$A$20*$A24</f>
        <v>241923.52941176473</v>
      </c>
      <c r="C57" s="4">
        <f>C6*$A$20*$A24</f>
        <v>241923.52941176473</v>
      </c>
      <c r="D57" s="4">
        <f>D6*$A$20*$A24</f>
        <v>241923.52941176473</v>
      </c>
      <c r="E57" s="4">
        <f>E6*$A$20*$A24</f>
        <v>241923.52941176473</v>
      </c>
      <c r="F57" t="s">
        <v>8</v>
      </c>
      <c r="L57" s="4">
        <f t="shared" ref="L57:P59" si="11">A6*$A$20*$B$24</f>
        <v>178394.11764705883</v>
      </c>
      <c r="M57" s="4">
        <f t="shared" si="11"/>
        <v>241923.52941176473</v>
      </c>
      <c r="N57" s="4">
        <f t="shared" si="11"/>
        <v>241923.52941176473</v>
      </c>
      <c r="O57" s="4">
        <f t="shared" si="11"/>
        <v>241923.52941176473</v>
      </c>
      <c r="P57" s="4">
        <f t="shared" si="11"/>
        <v>241923.52941176473</v>
      </c>
      <c r="Q57" t="s">
        <v>8</v>
      </c>
      <c r="W57" s="4">
        <f t="shared" si="6"/>
        <v>535182.3529411765</v>
      </c>
      <c r="X57" s="4">
        <f t="shared" si="7"/>
        <v>725770.58823529421</v>
      </c>
      <c r="Y57" s="4">
        <f t="shared" si="8"/>
        <v>725770.58823529421</v>
      </c>
      <c r="Z57" s="4">
        <f t="shared" si="9"/>
        <v>725770.58823529421</v>
      </c>
      <c r="AA57" s="4">
        <f t="shared" si="10"/>
        <v>725770.58823529421</v>
      </c>
      <c r="AB57" t="s">
        <v>8</v>
      </c>
    </row>
    <row r="58" spans="1:28" x14ac:dyDescent="0.25">
      <c r="A58" s="4">
        <f t="shared" ref="A58:E59" si="12">A7*$A$20*$A$24</f>
        <v>183529.41176470587</v>
      </c>
      <c r="B58" s="4">
        <f t="shared" si="12"/>
        <v>176470.58823529413</v>
      </c>
      <c r="C58" s="4">
        <f t="shared" si="12"/>
        <v>176470.58823529413</v>
      </c>
      <c r="D58" s="4">
        <f t="shared" si="12"/>
        <v>176470.58823529413</v>
      </c>
      <c r="E58" s="4">
        <f t="shared" si="12"/>
        <v>176470.58823529413</v>
      </c>
      <c r="F58" t="s">
        <v>9</v>
      </c>
      <c r="L58" s="4">
        <f t="shared" si="11"/>
        <v>183529.41176470587</v>
      </c>
      <c r="M58" s="4">
        <f t="shared" si="11"/>
        <v>176470.58823529413</v>
      </c>
      <c r="N58" s="4">
        <f t="shared" si="11"/>
        <v>176470.58823529413</v>
      </c>
      <c r="O58" s="4">
        <f t="shared" si="11"/>
        <v>176470.58823529413</v>
      </c>
      <c r="P58" s="4">
        <f t="shared" si="11"/>
        <v>176470.58823529413</v>
      </c>
      <c r="Q58" t="s">
        <v>9</v>
      </c>
      <c r="W58" s="4">
        <f t="shared" si="6"/>
        <v>550588.23529411759</v>
      </c>
      <c r="X58" s="4">
        <f t="shared" si="7"/>
        <v>529411.76470588241</v>
      </c>
      <c r="Y58" s="4">
        <f t="shared" si="8"/>
        <v>529411.76470588241</v>
      </c>
      <c r="Z58" s="4">
        <f t="shared" si="9"/>
        <v>529411.76470588241</v>
      </c>
      <c r="AA58" s="4">
        <f t="shared" si="10"/>
        <v>529411.76470588241</v>
      </c>
      <c r="AB58" t="s">
        <v>9</v>
      </c>
    </row>
    <row r="59" spans="1:28" x14ac:dyDescent="0.25">
      <c r="A59" s="4">
        <f t="shared" si="12"/>
        <v>31764.705882352941</v>
      </c>
      <c r="B59" s="4">
        <f t="shared" si="12"/>
        <v>31764.705882352941</v>
      </c>
      <c r="C59" s="4">
        <f t="shared" si="12"/>
        <v>31764.705882352941</v>
      </c>
      <c r="D59" s="4">
        <f t="shared" si="12"/>
        <v>31764.705882352941</v>
      </c>
      <c r="E59" s="4">
        <f t="shared" si="12"/>
        <v>31764.705882352941</v>
      </c>
      <c r="F59" t="s">
        <v>10</v>
      </c>
      <c r="L59" s="4">
        <f t="shared" si="11"/>
        <v>31764.705882352941</v>
      </c>
      <c r="M59" s="4">
        <f t="shared" si="11"/>
        <v>31764.705882352941</v>
      </c>
      <c r="N59" s="4">
        <f t="shared" si="11"/>
        <v>31764.705882352941</v>
      </c>
      <c r="O59" s="4">
        <f t="shared" si="11"/>
        <v>31764.705882352941</v>
      </c>
      <c r="P59" s="4">
        <f t="shared" si="11"/>
        <v>31764.705882352941</v>
      </c>
      <c r="Q59" t="s">
        <v>10</v>
      </c>
      <c r="W59" s="4">
        <f t="shared" si="6"/>
        <v>95294.117647058825</v>
      </c>
      <c r="X59" s="4">
        <f t="shared" si="7"/>
        <v>95294.117647058825</v>
      </c>
      <c r="Y59" s="4">
        <f t="shared" si="8"/>
        <v>95294.117647058825</v>
      </c>
      <c r="Z59" s="4">
        <f t="shared" si="9"/>
        <v>95294.117647058825</v>
      </c>
      <c r="AA59" s="4">
        <f t="shared" si="10"/>
        <v>95294.117647058825</v>
      </c>
      <c r="AB59" t="s">
        <v>10</v>
      </c>
    </row>
    <row r="60" spans="1:28" x14ac:dyDescent="0.25">
      <c r="A60" s="4">
        <f>A9*$A$19*$A23</f>
        <v>17928.207000000002</v>
      </c>
      <c r="B60" s="4">
        <f>B9*$A$19*$A23</f>
        <v>17928.207000000002</v>
      </c>
      <c r="C60" s="4">
        <f>C9*$A$19*$A23</f>
        <v>17928.207000000002</v>
      </c>
      <c r="D60" s="4">
        <f>D9*$A$19*$A23</f>
        <v>17928.207000000002</v>
      </c>
      <c r="E60" s="4">
        <f>E9*$A$19*$A23</f>
        <v>17928.207000000002</v>
      </c>
      <c r="F60" t="s">
        <v>11</v>
      </c>
      <c r="L60" s="4">
        <f>A9*$A$19*$B$23</f>
        <v>36399.693000000007</v>
      </c>
      <c r="M60" s="4">
        <f>B9*$A$19*$B$23</f>
        <v>36399.693000000007</v>
      </c>
      <c r="N60" s="4">
        <f>C9*$A$19*$B$23</f>
        <v>36399.693000000007</v>
      </c>
      <c r="O60" s="4">
        <f>D9*$A$19*$B$23</f>
        <v>36399.693000000007</v>
      </c>
      <c r="P60" s="4">
        <f>E9*$A$19*$B$23</f>
        <v>36399.693000000007</v>
      </c>
      <c r="Q60" t="s">
        <v>11</v>
      </c>
      <c r="W60" s="4">
        <f t="shared" si="6"/>
        <v>72256.107000000018</v>
      </c>
      <c r="X60" s="4">
        <f t="shared" si="7"/>
        <v>72256.107000000018</v>
      </c>
      <c r="Y60" s="4">
        <f t="shared" si="8"/>
        <v>72256.107000000018</v>
      </c>
      <c r="Z60" s="4">
        <f t="shared" si="9"/>
        <v>72256.107000000018</v>
      </c>
      <c r="AA60" s="4">
        <f t="shared" si="10"/>
        <v>72256.107000000018</v>
      </c>
      <c r="AB60" t="s">
        <v>11</v>
      </c>
    </row>
    <row r="61" spans="1:28" x14ac:dyDescent="0.25">
      <c r="A61" s="4">
        <f>A10*$A$20*$A24</f>
        <v>38294.117647058825</v>
      </c>
      <c r="B61" s="4">
        <f>B10*$A$20*$A24</f>
        <v>101823.52941176471</v>
      </c>
      <c r="C61" s="4">
        <f>C10*$A$20*$A24</f>
        <v>140647.05882352943</v>
      </c>
      <c r="D61" s="4">
        <f>D10*$A$20*$A24</f>
        <v>140647.05882352943</v>
      </c>
      <c r="E61" s="4">
        <f>E10*$A$20*$A24</f>
        <v>140647.05882352943</v>
      </c>
      <c r="F61" t="s">
        <v>12</v>
      </c>
      <c r="L61" s="4">
        <f>A10*$A$20*$B$24</f>
        <v>38294.117647058825</v>
      </c>
      <c r="M61" s="4">
        <f>B10*$A$20*$B$24</f>
        <v>101823.52941176471</v>
      </c>
      <c r="N61" s="4">
        <f>C10*$A$20*$B$24</f>
        <v>140647.05882352943</v>
      </c>
      <c r="O61" s="4">
        <f>D10*$A$20*$B$24</f>
        <v>140647.05882352943</v>
      </c>
      <c r="P61" s="4">
        <f>E10*$A$20*$B$24</f>
        <v>140647.05882352943</v>
      </c>
      <c r="Q61" t="s">
        <v>12</v>
      </c>
      <c r="W61" s="4">
        <f t="shared" si="6"/>
        <v>114882.35294117648</v>
      </c>
      <c r="X61" s="4">
        <f t="shared" si="7"/>
        <v>305470.58823529416</v>
      </c>
      <c r="Y61" s="4">
        <f t="shared" si="8"/>
        <v>421941.17647058831</v>
      </c>
      <c r="Z61" s="4">
        <f t="shared" si="9"/>
        <v>421941.17647058831</v>
      </c>
      <c r="AA61" s="4">
        <f t="shared" si="10"/>
        <v>421941.17647058831</v>
      </c>
      <c r="AB61" t="s">
        <v>12</v>
      </c>
    </row>
    <row r="62" spans="1:28" x14ac:dyDescent="0.25">
      <c r="A62" s="4">
        <f>A11*$A$19*$A23</f>
        <v>28597.140000000003</v>
      </c>
      <c r="B62" s="4">
        <f>B11*$A$19*$A23</f>
        <v>28597.140000000003</v>
      </c>
      <c r="C62" s="4">
        <f>C11*$A$19*$A23</f>
        <v>28597.140000000003</v>
      </c>
      <c r="D62" s="4">
        <f>D11*$A$19*$A23</f>
        <v>28597.140000000003</v>
      </c>
      <c r="E62" s="4">
        <f>E11*$A$19*$A23</f>
        <v>28597.140000000003</v>
      </c>
      <c r="F62" t="s">
        <v>13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t="s">
        <v>13</v>
      </c>
      <c r="W62" s="4">
        <f t="shared" si="6"/>
        <v>57194.280000000006</v>
      </c>
      <c r="X62" s="4">
        <f t="shared" si="7"/>
        <v>57194.280000000006</v>
      </c>
      <c r="Y62" s="4">
        <f t="shared" si="8"/>
        <v>57194.280000000006</v>
      </c>
      <c r="Z62" s="4">
        <f t="shared" si="9"/>
        <v>57194.280000000006</v>
      </c>
      <c r="AA62" s="4">
        <f t="shared" si="10"/>
        <v>57194.280000000006</v>
      </c>
      <c r="AB62" t="s">
        <v>13</v>
      </c>
    </row>
    <row r="63" spans="1:28" x14ac:dyDescent="0.25">
      <c r="A63" s="4">
        <f>A12*$A$20*$A24</f>
        <v>60000</v>
      </c>
      <c r="B63" s="4">
        <f>B12*$A$20*$A24</f>
        <v>60000</v>
      </c>
      <c r="C63" s="4">
        <f>C12*$A$20*$A24</f>
        <v>60000</v>
      </c>
      <c r="D63" s="4">
        <f>D12*$A$20*$A24</f>
        <v>60000</v>
      </c>
      <c r="E63" s="4">
        <f>E12*$A$20*$A24</f>
        <v>60000</v>
      </c>
      <c r="F63" t="s">
        <v>14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t="s">
        <v>14</v>
      </c>
      <c r="W63" s="4">
        <f t="shared" si="6"/>
        <v>120000</v>
      </c>
      <c r="X63" s="4">
        <f t="shared" si="7"/>
        <v>120000</v>
      </c>
      <c r="Y63" s="4">
        <f t="shared" si="8"/>
        <v>120000</v>
      </c>
      <c r="Z63" s="4">
        <f t="shared" si="9"/>
        <v>120000</v>
      </c>
      <c r="AA63" s="4">
        <f t="shared" si="10"/>
        <v>120000</v>
      </c>
      <c r="AB63" t="s">
        <v>14</v>
      </c>
    </row>
    <row r="64" spans="1:28" x14ac:dyDescent="0.25">
      <c r="A64" s="4">
        <f>A13*$A$20*$A$24</f>
        <v>90000</v>
      </c>
      <c r="B64" s="4">
        <f>B13*$A$20*$A$24</f>
        <v>90000</v>
      </c>
      <c r="C64" s="4">
        <f>C13*$A$20*$A$24</f>
        <v>90000</v>
      </c>
      <c r="D64" s="4">
        <f>D13*$A$20*$A$24</f>
        <v>90000</v>
      </c>
      <c r="E64" s="4">
        <f>E13*$A$20*$A$24</f>
        <v>90000</v>
      </c>
      <c r="F64" t="s">
        <v>15</v>
      </c>
      <c r="L64" s="4">
        <f>A13*$A$20*$B$24</f>
        <v>90000</v>
      </c>
      <c r="M64" s="4">
        <f>B13*$A$20*$B$24</f>
        <v>90000</v>
      </c>
      <c r="N64" s="4">
        <f>C13*$A$20*$B$24</f>
        <v>90000</v>
      </c>
      <c r="O64" s="4">
        <f>D13*$A$20*$B$24</f>
        <v>90000</v>
      </c>
      <c r="P64" s="4">
        <f>E13*$A$20*$B$24</f>
        <v>90000</v>
      </c>
      <c r="Q64" t="s">
        <v>15</v>
      </c>
      <c r="W64" s="4">
        <f t="shared" si="6"/>
        <v>270000</v>
      </c>
      <c r="X64" s="4">
        <f t="shared" si="7"/>
        <v>270000</v>
      </c>
      <c r="Y64" s="4">
        <f t="shared" si="8"/>
        <v>270000</v>
      </c>
      <c r="Z64" s="4">
        <f t="shared" si="9"/>
        <v>270000</v>
      </c>
      <c r="AA64" s="4">
        <f t="shared" si="10"/>
        <v>270000</v>
      </c>
      <c r="AB64" t="s">
        <v>15</v>
      </c>
    </row>
    <row r="65" spans="1:28" x14ac:dyDescent="0.25">
      <c r="A65" s="4">
        <f>A14*$A$19*$A$22</f>
        <v>184214.91</v>
      </c>
      <c r="B65" s="4">
        <f>B14*$A$19*$A$22</f>
        <v>161717.16</v>
      </c>
      <c r="C65" s="4">
        <f>C14*$A$19*$A$22</f>
        <v>161717.16</v>
      </c>
      <c r="D65" s="4">
        <f>D14*$A$19*$A$22</f>
        <v>161717.16</v>
      </c>
      <c r="E65" s="4">
        <f>E14*$A$19*$A$22</f>
        <v>161717.16</v>
      </c>
      <c r="F65" t="s">
        <v>16</v>
      </c>
      <c r="L65" s="4">
        <f>A14*$A$19*$B$22</f>
        <v>0</v>
      </c>
      <c r="M65" s="4">
        <f>B14*$A$19*$B$22</f>
        <v>0</v>
      </c>
      <c r="N65" s="4">
        <f>C14*$A$19*$B$22</f>
        <v>0</v>
      </c>
      <c r="O65" s="4">
        <f>D14*$A$19*$B$22</f>
        <v>0</v>
      </c>
      <c r="P65" s="4">
        <f>E14*$A$19*$B$22</f>
        <v>0</v>
      </c>
      <c r="Q65" t="s">
        <v>16</v>
      </c>
      <c r="W65" s="4">
        <f t="shared" si="6"/>
        <v>368429.82</v>
      </c>
      <c r="X65" s="4">
        <f t="shared" si="7"/>
        <v>323434.32</v>
      </c>
      <c r="Y65" s="4">
        <f t="shared" si="8"/>
        <v>323434.32</v>
      </c>
      <c r="Z65" s="4">
        <f t="shared" si="9"/>
        <v>323434.32</v>
      </c>
      <c r="AA65" s="4">
        <f t="shared" si="10"/>
        <v>323434.32</v>
      </c>
      <c r="AB65" t="s">
        <v>16</v>
      </c>
    </row>
    <row r="66" spans="1:28" x14ac:dyDescent="0.25">
      <c r="A66" s="4">
        <f t="shared" ref="A66:E68" si="13">A15*$A$20*$A$24</f>
        <v>64817.647058823524</v>
      </c>
      <c r="B66" s="4">
        <f t="shared" si="13"/>
        <v>104964.70588235294</v>
      </c>
      <c r="C66" s="4">
        <f t="shared" si="13"/>
        <v>104964.70588235294</v>
      </c>
      <c r="D66" s="4">
        <f t="shared" si="13"/>
        <v>104964.70588235294</v>
      </c>
      <c r="E66" s="4">
        <f t="shared" si="13"/>
        <v>104964.70588235294</v>
      </c>
      <c r="F66" t="s">
        <v>17</v>
      </c>
      <c r="L66" s="4">
        <f t="shared" ref="L66:P68" si="14">A15*$A$20*$B$24</f>
        <v>64817.647058823524</v>
      </c>
      <c r="M66" s="4">
        <f t="shared" si="14"/>
        <v>104964.70588235294</v>
      </c>
      <c r="N66" s="4">
        <f t="shared" si="14"/>
        <v>104964.70588235294</v>
      </c>
      <c r="O66" s="4">
        <f t="shared" si="14"/>
        <v>104964.70588235294</v>
      </c>
      <c r="P66" s="4">
        <f t="shared" si="14"/>
        <v>104964.70588235294</v>
      </c>
      <c r="Q66" t="s">
        <v>17</v>
      </c>
      <c r="W66" s="4">
        <f t="shared" si="6"/>
        <v>194452.94117647057</v>
      </c>
      <c r="X66" s="4">
        <f t="shared" si="7"/>
        <v>314894.1176470588</v>
      </c>
      <c r="Y66" s="4">
        <f t="shared" si="8"/>
        <v>314894.1176470588</v>
      </c>
      <c r="Z66" s="4">
        <f t="shared" si="9"/>
        <v>314894.1176470588</v>
      </c>
      <c r="AA66" s="4">
        <f t="shared" si="10"/>
        <v>314894.1176470588</v>
      </c>
      <c r="AB66" t="s">
        <v>17</v>
      </c>
    </row>
    <row r="67" spans="1:28" x14ac:dyDescent="0.25">
      <c r="A67" s="4">
        <f t="shared" si="13"/>
        <v>150000</v>
      </c>
      <c r="B67" s="4">
        <f t="shared" si="13"/>
        <v>150000</v>
      </c>
      <c r="C67" s="4">
        <f t="shared" si="13"/>
        <v>150000</v>
      </c>
      <c r="D67" s="4">
        <f t="shared" si="13"/>
        <v>150000</v>
      </c>
      <c r="E67" s="4">
        <f t="shared" si="13"/>
        <v>150000</v>
      </c>
      <c r="F67" t="s">
        <v>18</v>
      </c>
      <c r="L67" s="4">
        <f t="shared" si="14"/>
        <v>150000</v>
      </c>
      <c r="M67" s="4">
        <f t="shared" si="14"/>
        <v>150000</v>
      </c>
      <c r="N67" s="4">
        <f t="shared" si="14"/>
        <v>150000</v>
      </c>
      <c r="O67" s="4">
        <f t="shared" si="14"/>
        <v>150000</v>
      </c>
      <c r="P67" s="4">
        <f t="shared" si="14"/>
        <v>150000</v>
      </c>
      <c r="Q67" t="s">
        <v>18</v>
      </c>
      <c r="W67" s="4">
        <f t="shared" si="6"/>
        <v>450000</v>
      </c>
      <c r="X67" s="4">
        <f t="shared" si="7"/>
        <v>450000</v>
      </c>
      <c r="Y67" s="4">
        <f t="shared" si="8"/>
        <v>450000</v>
      </c>
      <c r="Z67" s="4">
        <f t="shared" si="9"/>
        <v>450000</v>
      </c>
      <c r="AA67" s="4">
        <f t="shared" si="10"/>
        <v>450000</v>
      </c>
      <c r="AB67" t="s">
        <v>18</v>
      </c>
    </row>
    <row r="68" spans="1:28" x14ac:dyDescent="0.25">
      <c r="A68" s="4">
        <f t="shared" si="13"/>
        <v>77647.058823529413</v>
      </c>
      <c r="B68" s="4">
        <f t="shared" si="13"/>
        <v>77647.058823529413</v>
      </c>
      <c r="C68" s="4">
        <f t="shared" si="13"/>
        <v>77647.058823529413</v>
      </c>
      <c r="D68" s="4">
        <f t="shared" si="13"/>
        <v>77647.058823529413</v>
      </c>
      <c r="E68" s="4">
        <f t="shared" si="13"/>
        <v>77647.058823529413</v>
      </c>
      <c r="F68" t="s">
        <v>19</v>
      </c>
      <c r="L68" s="4">
        <f t="shared" si="14"/>
        <v>77647.058823529413</v>
      </c>
      <c r="M68" s="4">
        <f t="shared" si="14"/>
        <v>77647.058823529413</v>
      </c>
      <c r="N68" s="4">
        <f t="shared" si="14"/>
        <v>77647.058823529413</v>
      </c>
      <c r="O68" s="4">
        <f t="shared" si="14"/>
        <v>77647.058823529413</v>
      </c>
      <c r="P68" s="4">
        <f t="shared" si="14"/>
        <v>77647.058823529413</v>
      </c>
      <c r="Q68" t="s">
        <v>19</v>
      </c>
      <c r="W68" s="4">
        <f t="shared" si="6"/>
        <v>232941.17647058825</v>
      </c>
      <c r="X68" s="4">
        <f t="shared" si="7"/>
        <v>232941.17647058825</v>
      </c>
      <c r="Y68" s="4">
        <f t="shared" si="8"/>
        <v>232941.17647058825</v>
      </c>
      <c r="Z68" s="4">
        <f t="shared" si="9"/>
        <v>232941.17647058825</v>
      </c>
      <c r="AA68" s="4">
        <f t="shared" si="10"/>
        <v>232941.17647058825</v>
      </c>
      <c r="AB68" t="s">
        <v>19</v>
      </c>
    </row>
    <row r="70" spans="1:28" x14ac:dyDescent="0.25">
      <c r="A70" s="12" t="s">
        <v>38</v>
      </c>
      <c r="B70" s="12"/>
      <c r="C70" s="12"/>
      <c r="D70" s="12"/>
      <c r="E70" s="12"/>
      <c r="L70" s="12" t="s">
        <v>39</v>
      </c>
      <c r="M70" s="12"/>
      <c r="N70" s="12"/>
      <c r="O70" s="12"/>
      <c r="P70" s="12"/>
      <c r="W70" s="12" t="s">
        <v>40</v>
      </c>
      <c r="X70" s="12"/>
      <c r="Y70" s="12"/>
      <c r="Z70" s="12"/>
      <c r="AA70" s="12"/>
    </row>
    <row r="71" spans="1:28" x14ac:dyDescent="0.25">
      <c r="A71" s="1" t="s">
        <v>1</v>
      </c>
      <c r="B71" s="1" t="s">
        <v>2</v>
      </c>
      <c r="C71" s="1" t="s">
        <v>3</v>
      </c>
      <c r="D71" s="1" t="s">
        <v>4</v>
      </c>
      <c r="E71" s="1" t="s">
        <v>5</v>
      </c>
      <c r="L71" s="1" t="s">
        <v>1</v>
      </c>
      <c r="M71" s="1" t="s">
        <v>2</v>
      </c>
      <c r="N71" s="1" t="s">
        <v>3</v>
      </c>
      <c r="O71" s="1" t="s">
        <v>4</v>
      </c>
      <c r="P71" s="1" t="s">
        <v>5</v>
      </c>
      <c r="W71" s="1" t="s">
        <v>1</v>
      </c>
      <c r="X71" s="1" t="s">
        <v>2</v>
      </c>
      <c r="Y71" s="1" t="s">
        <v>3</v>
      </c>
      <c r="Z71" s="1" t="s">
        <v>4</v>
      </c>
      <c r="AA71" s="1" t="s">
        <v>5</v>
      </c>
    </row>
    <row r="72" spans="1:28" x14ac:dyDescent="0.25">
      <c r="A72" s="4">
        <f>SUM(A55:A59)</f>
        <v>467095.89379411767</v>
      </c>
      <c r="B72" s="4">
        <f>SUM(B55:B59)</f>
        <v>523566.48202941177</v>
      </c>
      <c r="C72" s="4">
        <f>SUM(C55:C59)</f>
        <v>523566.48202941177</v>
      </c>
      <c r="D72" s="4">
        <f>SUM(D55:D59)</f>
        <v>523566.48202941177</v>
      </c>
      <c r="E72" s="4">
        <f>SUM(E55:E59)</f>
        <v>523566.48202941177</v>
      </c>
      <c r="F72" t="s">
        <v>31</v>
      </c>
      <c r="L72" s="4">
        <f>SUM(L55:L59)</f>
        <v>473298.60679411766</v>
      </c>
      <c r="M72" s="4">
        <f>SUM(M55:M59)</f>
        <v>529769.1950294117</v>
      </c>
      <c r="N72" s="4">
        <f>SUM(N55:N59)</f>
        <v>529769.1950294117</v>
      </c>
      <c r="O72" s="4">
        <f>SUM(O55:O59)</f>
        <v>529769.1950294117</v>
      </c>
      <c r="P72" s="4">
        <f>SUM(P55:P59)</f>
        <v>529769.1950294117</v>
      </c>
      <c r="Q72" t="s">
        <v>31</v>
      </c>
      <c r="W72" s="4">
        <f>SUM(W55:W59)</f>
        <v>1407490.3943823529</v>
      </c>
      <c r="X72" s="4">
        <f>SUM(X55:X59)</f>
        <v>1576902.1590882353</v>
      </c>
      <c r="Y72" s="4">
        <f>SUM(Y55:Y59)</f>
        <v>1576902.1590882353</v>
      </c>
      <c r="Z72" s="4">
        <f>SUM(Z55:Z59)</f>
        <v>1576902.1590882353</v>
      </c>
      <c r="AA72" s="4">
        <f>SUM(AA55:AA59)</f>
        <v>1576902.1590882353</v>
      </c>
      <c r="AB72" t="s">
        <v>31</v>
      </c>
    </row>
    <row r="73" spans="1:28" x14ac:dyDescent="0.25">
      <c r="A73" s="4">
        <f>SUM(A60:A63)</f>
        <v>144819.46464705883</v>
      </c>
      <c r="B73" s="4">
        <f>SUM(B60:B63)</f>
        <v>208348.87641176474</v>
      </c>
      <c r="C73" s="4">
        <f>SUM(C60:C63)</f>
        <v>247172.40582352944</v>
      </c>
      <c r="D73" s="4">
        <f>SUM(D60:D63)</f>
        <v>247172.40582352944</v>
      </c>
      <c r="E73" s="4">
        <f>SUM(E60:E63)</f>
        <v>247172.40582352944</v>
      </c>
      <c r="F73" t="s">
        <v>32</v>
      </c>
      <c r="L73" s="4">
        <f>SUM(L60:L63)</f>
        <v>74693.810647058825</v>
      </c>
      <c r="M73" s="4">
        <f>SUM(M60:M63)</f>
        <v>138223.22241176473</v>
      </c>
      <c r="N73" s="4">
        <f>SUM(N60:N63)</f>
        <v>177046.75182352943</v>
      </c>
      <c r="O73" s="4">
        <f>SUM(O60:O63)</f>
        <v>177046.75182352943</v>
      </c>
      <c r="P73" s="4">
        <f>SUM(P60:P63)</f>
        <v>177046.75182352943</v>
      </c>
      <c r="Q73" t="s">
        <v>32</v>
      </c>
      <c r="W73" s="4">
        <f>SUM(W60:W63)</f>
        <v>364332.73994117649</v>
      </c>
      <c r="X73" s="4">
        <f>SUM(X60:X63)</f>
        <v>554920.9752352942</v>
      </c>
      <c r="Y73" s="4">
        <f>SUM(Y60:Y63)</f>
        <v>671391.5634705883</v>
      </c>
      <c r="Z73" s="4">
        <f>SUM(Z60:Z63)</f>
        <v>671391.5634705883</v>
      </c>
      <c r="AA73" s="4">
        <f>SUM(AA60:AA63)</f>
        <v>671391.5634705883</v>
      </c>
      <c r="AB73" t="s">
        <v>32</v>
      </c>
    </row>
    <row r="74" spans="1:28" x14ac:dyDescent="0.25">
      <c r="A74" s="4">
        <f>A64</f>
        <v>90000</v>
      </c>
      <c r="B74" s="4">
        <f>B64</f>
        <v>90000</v>
      </c>
      <c r="C74" s="4">
        <f>C64</f>
        <v>90000</v>
      </c>
      <c r="D74" s="4">
        <f>D64</f>
        <v>90000</v>
      </c>
      <c r="E74" s="4">
        <f>E64</f>
        <v>90000</v>
      </c>
      <c r="F74" t="s">
        <v>33</v>
      </c>
      <c r="L74" s="4">
        <f>L64</f>
        <v>90000</v>
      </c>
      <c r="M74" s="4">
        <f>M64</f>
        <v>90000</v>
      </c>
      <c r="N74" s="4">
        <f>N64</f>
        <v>90000</v>
      </c>
      <c r="O74" s="4">
        <f>O64</f>
        <v>90000</v>
      </c>
      <c r="P74" s="4">
        <f>P64</f>
        <v>90000</v>
      </c>
      <c r="Q74" t="s">
        <v>33</v>
      </c>
      <c r="W74" s="4">
        <f>W64</f>
        <v>270000</v>
      </c>
      <c r="X74" s="4">
        <f>X64</f>
        <v>270000</v>
      </c>
      <c r="Y74" s="4">
        <f>Y64</f>
        <v>270000</v>
      </c>
      <c r="Z74" s="4">
        <f>Z64</f>
        <v>270000</v>
      </c>
      <c r="AA74" s="4">
        <f>AA64</f>
        <v>270000</v>
      </c>
      <c r="AB74" t="s">
        <v>33</v>
      </c>
    </row>
    <row r="75" spans="1:28" x14ac:dyDescent="0.25">
      <c r="A75" s="4">
        <f>SUM(A65:A68)</f>
        <v>476679.61588235293</v>
      </c>
      <c r="B75" s="4">
        <f>SUM(B65:B68)</f>
        <v>494328.92470588232</v>
      </c>
      <c r="C75" s="4">
        <f>SUM(C65:C68)</f>
        <v>494328.92470588232</v>
      </c>
      <c r="D75" s="4">
        <f>SUM(D65:D68)</f>
        <v>494328.92470588232</v>
      </c>
      <c r="E75" s="4">
        <f>SUM(E65:E68)</f>
        <v>494328.92470588232</v>
      </c>
      <c r="F75" t="s">
        <v>34</v>
      </c>
      <c r="L75" s="4">
        <f>SUM(L65:L68)</f>
        <v>292464.70588235295</v>
      </c>
      <c r="M75" s="4">
        <f>SUM(M65:M68)</f>
        <v>332611.76470588235</v>
      </c>
      <c r="N75" s="4">
        <f>SUM(N65:N68)</f>
        <v>332611.76470588235</v>
      </c>
      <c r="O75" s="4">
        <f>SUM(O65:O68)</f>
        <v>332611.76470588235</v>
      </c>
      <c r="P75" s="4">
        <f>SUM(P65:P68)</f>
        <v>332611.76470588235</v>
      </c>
      <c r="Q75" t="s">
        <v>34</v>
      </c>
      <c r="W75" s="4">
        <f>SUM(W65:W68)</f>
        <v>1245823.9376470589</v>
      </c>
      <c r="X75" s="4">
        <f>SUM(X65:X68)</f>
        <v>1321269.6141176471</v>
      </c>
      <c r="Y75" s="4">
        <f>SUM(Y65:Y68)</f>
        <v>1321269.6141176471</v>
      </c>
      <c r="Z75" s="4">
        <f>SUM(Z65:Z68)</f>
        <v>1321269.6141176471</v>
      </c>
      <c r="AA75" s="4">
        <f>SUM(AA65:AA68)</f>
        <v>1321269.6141176471</v>
      </c>
      <c r="AB75" t="s">
        <v>34</v>
      </c>
    </row>
    <row r="77" spans="1:28" x14ac:dyDescent="0.25">
      <c r="A77" s="11"/>
      <c r="B77" s="11"/>
      <c r="C77" s="11"/>
      <c r="D77" s="11"/>
      <c r="E77" s="11"/>
      <c r="L77" s="11"/>
      <c r="M77" s="11"/>
      <c r="N77" s="11"/>
      <c r="O77" s="11"/>
      <c r="P77" s="11"/>
    </row>
    <row r="78" spans="1:28" x14ac:dyDescent="0.25">
      <c r="A78" s="11"/>
      <c r="B78" s="11"/>
      <c r="C78" s="11"/>
      <c r="D78" s="11"/>
      <c r="E78" s="11"/>
      <c r="L78" s="11"/>
      <c r="M78" s="11"/>
      <c r="N78" s="11"/>
      <c r="O78" s="11"/>
      <c r="P78" s="11"/>
    </row>
    <row r="79" spans="1:28" x14ac:dyDescent="0.25">
      <c r="A79" s="11"/>
      <c r="B79" s="11"/>
      <c r="C79" s="11"/>
      <c r="D79" s="11"/>
      <c r="E79" s="11"/>
      <c r="L79" s="11"/>
      <c r="M79" s="11"/>
      <c r="N79" s="11"/>
      <c r="O79" s="11"/>
      <c r="P79" s="11"/>
    </row>
    <row r="80" spans="1:28" x14ac:dyDescent="0.25">
      <c r="A80" s="11"/>
      <c r="B80" s="11"/>
      <c r="C80" s="11"/>
      <c r="D80" s="11"/>
      <c r="E80" s="11"/>
      <c r="L80" s="11"/>
      <c r="M80" s="11"/>
      <c r="N80" s="11"/>
      <c r="O80" s="11"/>
      <c r="P80" s="11"/>
    </row>
    <row r="82" spans="1:5" x14ac:dyDescent="0.25">
      <c r="A82" s="11"/>
      <c r="B82" s="11"/>
      <c r="C82" s="11"/>
      <c r="D82" s="11"/>
      <c r="E82" s="11"/>
    </row>
    <row r="83" spans="1:5" x14ac:dyDescent="0.25">
      <c r="A83" s="11"/>
      <c r="B83" s="11"/>
      <c r="C83" s="11"/>
      <c r="D83" s="11"/>
      <c r="E83" s="11"/>
    </row>
    <row r="84" spans="1:5" x14ac:dyDescent="0.25">
      <c r="A84" s="11"/>
      <c r="B84" s="11"/>
      <c r="C84" s="11"/>
      <c r="D84" s="11"/>
      <c r="E84" s="11"/>
    </row>
    <row r="85" spans="1:5" x14ac:dyDescent="0.25">
      <c r="A85" s="11"/>
      <c r="B85" s="11"/>
      <c r="C85" s="11"/>
      <c r="D85" s="11"/>
      <c r="E85" s="11"/>
    </row>
  </sheetData>
  <mergeCells count="11">
    <mergeCell ref="A1:G2"/>
    <mergeCell ref="A27:E27"/>
    <mergeCell ref="L27:P27"/>
    <mergeCell ref="A44:E44"/>
    <mergeCell ref="L44:P44"/>
    <mergeCell ref="A53:E53"/>
    <mergeCell ref="L53:P53"/>
    <mergeCell ref="W53:AA53"/>
    <mergeCell ref="A70:E70"/>
    <mergeCell ref="L70:P70"/>
    <mergeCell ref="W70:AA7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Footprint rationalisation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 Thomas</dc:creator>
  <dc:description/>
  <cp:lastModifiedBy>Deepa Thomas</cp:lastModifiedBy>
  <cp:revision>0</cp:revision>
  <dcterms:created xsi:type="dcterms:W3CDTF">2026-08-12T05:17:29Z</dcterms:created>
  <dcterms:modified xsi:type="dcterms:W3CDTF">2026-08-13T23:28:48Z</dcterms:modified>
  <dc:language>en-US</dc:language>
</cp:coreProperties>
</file>